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AA6C1E8B-BF0A-453A-8D48-BC84EA3128EC}" xr6:coauthVersionLast="47" xr6:coauthVersionMax="47" xr10:uidLastSave="{00000000-0000-0000-0000-000000000000}"/>
  <bookViews>
    <workbookView xWindow="-110" yWindow="-110" windowWidth="19420" windowHeight="10300" firstSheet="1" activeTab="1" xr2:uid="{0B9444A9-534F-4088-BD72-759D16B6E75A}"/>
  </bookViews>
  <sheets>
    <sheet name="Scenario" sheetId="2" r:id="rId1"/>
    <sheet name="Sheet2" sheetId="6" r:id="rId2"/>
    <sheet name="Mobile Store Data" sheetId="1" r:id="rId3"/>
    <sheet name="Pivot Tables" sheetId="4" r:id="rId4"/>
  </sheets>
  <calcPr calcId="191029"/>
  <pivotCaches>
    <pivotCache cacheId="25" r:id="rId5"/>
    <pivotCache cacheId="33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K2" i="1"/>
  <c r="K3" i="1"/>
  <c r="K4" i="1"/>
  <c r="K5" i="1"/>
  <c r="K6" i="1"/>
  <c r="K7" i="1"/>
  <c r="K8" i="1"/>
  <c r="K9" i="1"/>
  <c r="K10" i="1"/>
  <c r="K11" i="1"/>
  <c r="K12" i="1"/>
  <c r="K13" i="1"/>
  <c r="I3" i="1"/>
  <c r="I4" i="1"/>
  <c r="I5" i="1"/>
  <c r="I6" i="1"/>
  <c r="I7" i="1"/>
  <c r="I8" i="1"/>
  <c r="I9" i="1"/>
  <c r="I10" i="1"/>
  <c r="I11" i="1"/>
  <c r="I12" i="1"/>
  <c r="I13" i="1"/>
  <c r="I2" i="1"/>
  <c r="D11" i="6"/>
</calcChain>
</file>

<file path=xl/sharedStrings.xml><?xml version="1.0" encoding="utf-8"?>
<sst xmlns="http://schemas.openxmlformats.org/spreadsheetml/2006/main" count="217" uniqueCount="81">
  <si>
    <t>Order_ID</t>
  </si>
  <si>
    <t>Date</t>
  </si>
  <si>
    <t>Customer_ID</t>
  </si>
  <si>
    <t>City</t>
  </si>
  <si>
    <t>Product_Category</t>
  </si>
  <si>
    <t>Product</t>
  </si>
  <si>
    <t>Price</t>
  </si>
  <si>
    <t>Quantity</t>
  </si>
  <si>
    <t>Discount_%</t>
  </si>
  <si>
    <t>Delivery_Days</t>
  </si>
  <si>
    <t>Returned</t>
  </si>
  <si>
    <t>O101</t>
  </si>
  <si>
    <t>C201</t>
  </si>
  <si>
    <t>Delhi</t>
  </si>
  <si>
    <t>Mobile</t>
  </si>
  <si>
    <t>Samsung M14</t>
  </si>
  <si>
    <t>No</t>
  </si>
  <si>
    <t>O102</t>
  </si>
  <si>
    <t>C202</t>
  </si>
  <si>
    <t>Mumbai</t>
  </si>
  <si>
    <t>Laptop</t>
  </si>
  <si>
    <t>HP Pavilion</t>
  </si>
  <si>
    <t>O103</t>
  </si>
  <si>
    <t>C203</t>
  </si>
  <si>
    <t>Accessories</t>
  </si>
  <si>
    <t>Boat Earbuds</t>
  </si>
  <si>
    <t>Yes</t>
  </si>
  <si>
    <t>O104</t>
  </si>
  <si>
    <t>C204</t>
  </si>
  <si>
    <t>Bangalore</t>
  </si>
  <si>
    <t>iPhone 14</t>
  </si>
  <si>
    <t>O105</t>
  </si>
  <si>
    <t>Logitech Mouse</t>
  </si>
  <si>
    <t>O106</t>
  </si>
  <si>
    <t>C205</t>
  </si>
  <si>
    <t>Chennai</t>
  </si>
  <si>
    <t>Lenovo Ideapad</t>
  </si>
  <si>
    <t>O107</t>
  </si>
  <si>
    <t>C206</t>
  </si>
  <si>
    <t>Noise Watch</t>
  </si>
  <si>
    <t>O108</t>
  </si>
  <si>
    <t>Redmi Note 13</t>
  </si>
  <si>
    <t>O109</t>
  </si>
  <si>
    <t>C207</t>
  </si>
  <si>
    <t>MacBook Air</t>
  </si>
  <si>
    <t>O110</t>
  </si>
  <si>
    <t>C208</t>
  </si>
  <si>
    <t>JBL Speaker</t>
  </si>
  <si>
    <t>O111</t>
  </si>
  <si>
    <t>C209</t>
  </si>
  <si>
    <t>OnePlus Nord</t>
  </si>
  <si>
    <t>O112</t>
  </si>
  <si>
    <t>Scenario</t>
  </si>
  <si>
    <t>You are hired by a small online electronics store.</t>
  </si>
  <si>
    <t>The owner says:</t>
  </si>
  <si>
    <t>“Sales are okay, but something feels off. I want to understand my business better.”</t>
  </si>
  <si>
    <t>That’s all the context you get.</t>
  </si>
  <si>
    <t>Now YOU must think.</t>
  </si>
  <si>
    <t>Column Labels</t>
  </si>
  <si>
    <t>Grand Total</t>
  </si>
  <si>
    <t>Row Labels</t>
  </si>
  <si>
    <t>Sum of Quantity</t>
  </si>
  <si>
    <t>Sum of Delivery_Days</t>
  </si>
  <si>
    <t>Sum of Price</t>
  </si>
  <si>
    <t xml:space="preserve"> </t>
  </si>
  <si>
    <t>Product-wise Sales</t>
  </si>
  <si>
    <t>City-wise Quantity Orderd</t>
  </si>
  <si>
    <t>Products Returned</t>
  </si>
  <si>
    <t xml:space="preserve">Repeating Customers </t>
  </si>
  <si>
    <t>Sum of Discount_%</t>
  </si>
  <si>
    <t>Discount offered on the Products</t>
  </si>
  <si>
    <t xml:space="preserve">No. of Days to Deliver </t>
  </si>
  <si>
    <t>Total Price</t>
  </si>
  <si>
    <t>Sum of Total Price</t>
  </si>
  <si>
    <t>Price After Discount</t>
  </si>
  <si>
    <t>Sum of Price After Discount</t>
  </si>
  <si>
    <t>Net Revenue</t>
  </si>
  <si>
    <t>Final Revenue</t>
  </si>
  <si>
    <t>Final Revenue Rate</t>
  </si>
  <si>
    <t>Return Rate</t>
  </si>
  <si>
    <t>Net Revenue After Discounts And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</si>
</sst>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10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indent="1"/>
    </xf>
    <xf numFmtId="0" fontId="1" fillId="0" borderId="0" xfId="0" applyFont="1"/>
    <xf numFmtId="10" fontId="1" fillId="0" borderId="1" xfId="0" applyNumberFormat="1" applyFont="1" applyBorder="1"/>
    <xf numFmtId="10" fontId="1" fillId="2" borderId="2" xfId="0" applyNumberFormat="1" applyFont="1" applyFill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NumberFormat="1"/>
    <xf numFmtId="10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10" fontId="0" fillId="3" borderId="4" xfId="0" applyNumberFormat="1" applyFill="1" applyBorder="1"/>
    <xf numFmtId="0" fontId="3" fillId="4" borderId="3" xfId="0" applyFont="1" applyFill="1" applyBorder="1"/>
  </cellXfs>
  <cellStyles count="1">
    <cellStyle name="Normal" xfId="0" builtinId="0"/>
  </cellStyles>
  <dxfs count="16"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6.533927546297" createdVersion="8" refreshedVersion="8" minRefreshableVersion="3" recordCount="12" xr:uid="{51588366-DC53-49F8-9C95-1E6A92B048F6}">
  <cacheSource type="worksheet">
    <worksheetSource name="Table1"/>
  </cacheSource>
  <cacheFields count="14">
    <cacheField name="Order_ID" numFmtId="0">
      <sharedItems/>
    </cacheField>
    <cacheField name="Date" numFmtId="14">
      <sharedItems containsSemiMixedTypes="0" containsNonDate="0" containsDate="1" containsString="0" minDate="2025-01-03T00:00:00" maxDate="2025-01-11T00:00:00"/>
    </cacheField>
    <cacheField name="Customer_ID" numFmtId="0">
      <sharedItems/>
    </cacheField>
    <cacheField name="City" numFmtId="0">
      <sharedItems/>
    </cacheField>
    <cacheField name="Product_Category" numFmtId="0">
      <sharedItems count="3">
        <s v="Mobile"/>
        <s v="Laptop"/>
        <s v="Accessories"/>
      </sharedItems>
    </cacheField>
    <cacheField name="Product" numFmtId="0">
      <sharedItems count="11">
        <s v="Samsung M14"/>
        <s v="HP Pavilion"/>
        <s v="Boat Earbuds"/>
        <s v="iPhone 14"/>
        <s v="Logitech Mouse"/>
        <s v="Lenovo Ideapad"/>
        <s v="Noise Watch"/>
        <s v="Redmi Note 13"/>
        <s v="MacBook Air"/>
        <s v="JBL Speaker"/>
        <s v="OnePlus Nord"/>
      </sharedItems>
    </cacheField>
    <cacheField name="Price" numFmtId="0">
      <sharedItems containsSemiMixedTypes="0" containsString="0" containsNumber="1" containsInteger="1" minValue="1200" maxValue="92000"/>
    </cacheField>
    <cacheField name="Quantity" numFmtId="0">
      <sharedItems containsSemiMixedTypes="0" containsString="0" containsNumber="1" containsInteger="1" minValue="1" maxValue="2"/>
    </cacheField>
    <cacheField name="Total Price" numFmtId="0">
      <sharedItems containsSemiMixedTypes="0" containsString="0" containsNumber="1" containsInteger="1" minValue="1200" maxValue="92000"/>
    </cacheField>
    <cacheField name="Discount_%" numFmtId="0">
      <sharedItems containsSemiMixedTypes="0" containsString="0" containsNumber="1" containsInteger="1" minValue="0" maxValue="20"/>
    </cacheField>
    <cacheField name="Price After Discount" numFmtId="0">
      <sharedItems containsSemiMixedTypes="0" containsString="0" containsNumber="1" minValue="1200" maxValue="87400"/>
    </cacheField>
    <cacheField name="Delivery_Days" numFmtId="0">
      <sharedItems containsSemiMixedTypes="0" containsString="0" containsNumber="1" containsInteger="1" minValue="1" maxValue="7"/>
    </cacheField>
    <cacheField name="Returned" numFmtId="0">
      <sharedItems/>
    </cacheField>
    <cacheField name="Net Revenue" numFmtId="0">
      <sharedItems containsSemiMixedTypes="0" containsString="0" containsNumber="1" minValue="0" maxValue="87400" count="9">
        <n v="13300"/>
        <n v="55800"/>
        <n v="0"/>
        <n v="66930"/>
        <n v="1200"/>
        <n v="2000"/>
        <n v="15640"/>
        <n v="87400"/>
        <n v="28829.99999999999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6.536865856484" createdVersion="8" refreshedVersion="8" minRefreshableVersion="3" recordCount="12" xr:uid="{1B7AAFD7-3D33-4729-ADB0-8AC61CFE8B41}">
  <cacheSource type="worksheet">
    <worksheetSource ref="A1:N13" sheet="Mobile Store Data"/>
  </cacheSource>
  <cacheFields count="14">
    <cacheField name="Order_ID" numFmtId="0">
      <sharedItems/>
    </cacheField>
    <cacheField name="Date" numFmtId="14">
      <sharedItems containsSemiMixedTypes="0" containsNonDate="0" containsDate="1" containsString="0" minDate="2025-01-03T00:00:00" maxDate="2025-01-11T00:00:00"/>
    </cacheField>
    <cacheField name="Customer_ID" numFmtId="0">
      <sharedItems count="9">
        <s v="C201"/>
        <s v="C202"/>
        <s v="C203"/>
        <s v="C204"/>
        <s v="C205"/>
        <s v="C206"/>
        <s v="C207"/>
        <s v="C208"/>
        <s v="C209"/>
      </sharedItems>
    </cacheField>
    <cacheField name="City" numFmtId="0">
      <sharedItems count="4">
        <s v="Delhi"/>
        <s v="Mumbai"/>
        <s v="Bangalore"/>
        <s v="Chennai"/>
      </sharedItems>
    </cacheField>
    <cacheField name="Product_Category" numFmtId="0">
      <sharedItems count="3">
        <s v="Mobile"/>
        <s v="Laptop"/>
        <s v="Accessories"/>
      </sharedItems>
    </cacheField>
    <cacheField name="Product" numFmtId="0">
      <sharedItems count="11">
        <s v="Samsung M14"/>
        <s v="HP Pavilion"/>
        <s v="Boat Earbuds"/>
        <s v="iPhone 14"/>
        <s v="Logitech Mouse"/>
        <s v="Lenovo Ideapad"/>
        <s v="Noise Watch"/>
        <s v="Redmi Note 13"/>
        <s v="MacBook Air"/>
        <s v="JBL Speaker"/>
        <s v="OnePlus Nord"/>
      </sharedItems>
    </cacheField>
    <cacheField name="Price" numFmtId="0">
      <sharedItems containsSemiMixedTypes="0" containsString="0" containsNumber="1" containsInteger="1" minValue="1200" maxValue="92000"/>
    </cacheField>
    <cacheField name="Quantity" numFmtId="0">
      <sharedItems containsSemiMixedTypes="0" containsString="0" containsNumber="1" containsInteger="1" minValue="1" maxValue="2"/>
    </cacheField>
    <cacheField name="Total Price" numFmtId="0">
      <sharedItems containsSemiMixedTypes="0" containsString="0" containsNumber="1" containsInteger="1" minValue="1200" maxValue="92000"/>
    </cacheField>
    <cacheField name="Discount_%" numFmtId="0">
      <sharedItems containsSemiMixedTypes="0" containsString="0" containsNumber="1" containsInteger="1" minValue="0" maxValue="20"/>
    </cacheField>
    <cacheField name="Price After Discount" numFmtId="0">
      <sharedItems containsSemiMixedTypes="0" containsString="0" containsNumber="1" minValue="1200" maxValue="87400"/>
    </cacheField>
    <cacheField name="Delivery_Days" numFmtId="0">
      <sharedItems containsSemiMixedTypes="0" containsString="0" containsNumber="1" containsInteger="1" minValue="1" maxValue="7"/>
    </cacheField>
    <cacheField name="Returned" numFmtId="0">
      <sharedItems count="2">
        <s v="No"/>
        <s v="Yes"/>
      </sharedItems>
    </cacheField>
    <cacheField name="Net Revenue" numFmtId="0">
      <sharedItems containsSemiMixedTypes="0" containsString="0" containsNumber="1" minValue="0" maxValue="87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O101"/>
    <d v="2025-01-03T00:00:00"/>
    <s v="C201"/>
    <s v="Delhi"/>
    <x v="0"/>
    <x v="0"/>
    <n v="14000"/>
    <n v="1"/>
    <n v="14000"/>
    <n v="5"/>
    <n v="13300"/>
    <n v="2"/>
    <s v="No"/>
    <x v="0"/>
  </r>
  <r>
    <s v="O102"/>
    <d v="2025-01-04T00:00:00"/>
    <s v="C202"/>
    <s v="Mumbai"/>
    <x v="1"/>
    <x v="1"/>
    <n v="62000"/>
    <n v="1"/>
    <n v="62000"/>
    <n v="10"/>
    <n v="55800"/>
    <n v="5"/>
    <s v="No"/>
    <x v="1"/>
  </r>
  <r>
    <s v="O103"/>
    <d v="2025-01-05T00:00:00"/>
    <s v="C203"/>
    <s v="Delhi"/>
    <x v="2"/>
    <x v="2"/>
    <n v="1800"/>
    <n v="2"/>
    <n v="3600"/>
    <n v="15"/>
    <n v="3060"/>
    <n v="1"/>
    <s v="Yes"/>
    <x v="2"/>
  </r>
  <r>
    <s v="O104"/>
    <d v="2025-01-05T00:00:00"/>
    <s v="C204"/>
    <s v="Bangalore"/>
    <x v="0"/>
    <x v="3"/>
    <n v="69000"/>
    <n v="1"/>
    <n v="69000"/>
    <n v="3"/>
    <n v="66930"/>
    <n v="4"/>
    <s v="No"/>
    <x v="3"/>
  </r>
  <r>
    <s v="O105"/>
    <d v="2025-01-06T00:00:00"/>
    <s v="C202"/>
    <s v="Mumbai"/>
    <x v="2"/>
    <x v="4"/>
    <n v="1200"/>
    <n v="1"/>
    <n v="1200"/>
    <n v="0"/>
    <n v="1200"/>
    <n v="2"/>
    <s v="No"/>
    <x v="4"/>
  </r>
  <r>
    <s v="O106"/>
    <d v="2025-01-06T00:00:00"/>
    <s v="C205"/>
    <s v="Chennai"/>
    <x v="1"/>
    <x v="5"/>
    <n v="54000"/>
    <n v="1"/>
    <n v="54000"/>
    <n v="12"/>
    <n v="47520"/>
    <n v="6"/>
    <s v="Yes"/>
    <x v="2"/>
  </r>
  <r>
    <s v="O107"/>
    <d v="2025-01-07T00:00:00"/>
    <s v="C206"/>
    <s v="Delhi"/>
    <x v="2"/>
    <x v="6"/>
    <n v="2500"/>
    <n v="1"/>
    <n v="2500"/>
    <n v="20"/>
    <n v="2000"/>
    <n v="3"/>
    <s v="No"/>
    <x v="5"/>
  </r>
  <r>
    <s v="O108"/>
    <d v="2025-01-07T00:00:00"/>
    <s v="C201"/>
    <s v="Delhi"/>
    <x v="0"/>
    <x v="7"/>
    <n v="17000"/>
    <n v="1"/>
    <n v="17000"/>
    <n v="8"/>
    <n v="15640"/>
    <n v="2"/>
    <s v="No"/>
    <x v="6"/>
  </r>
  <r>
    <s v="O109"/>
    <d v="2025-01-08T00:00:00"/>
    <s v="C207"/>
    <s v="Bangalore"/>
    <x v="1"/>
    <x v="8"/>
    <n v="92000"/>
    <n v="1"/>
    <n v="92000"/>
    <n v="5"/>
    <n v="87400"/>
    <n v="7"/>
    <s v="No"/>
    <x v="7"/>
  </r>
  <r>
    <s v="O110"/>
    <d v="2025-01-09T00:00:00"/>
    <s v="C208"/>
    <s v="Chennai"/>
    <x v="2"/>
    <x v="9"/>
    <n v="4500"/>
    <n v="1"/>
    <n v="4500"/>
    <n v="18"/>
    <n v="3690.0000000000005"/>
    <n v="5"/>
    <s v="Yes"/>
    <x v="2"/>
  </r>
  <r>
    <s v="O111"/>
    <d v="2025-01-10T00:00:00"/>
    <s v="C209"/>
    <s v="Mumbai"/>
    <x v="0"/>
    <x v="10"/>
    <n v="31000"/>
    <n v="1"/>
    <n v="31000"/>
    <n v="7"/>
    <n v="28829.999999999996"/>
    <n v="3"/>
    <s v="No"/>
    <x v="8"/>
  </r>
  <r>
    <s v="O112"/>
    <d v="2025-01-10T00:00:00"/>
    <s v="C203"/>
    <s v="Delhi"/>
    <x v="2"/>
    <x v="2"/>
    <n v="1800"/>
    <n v="1"/>
    <n v="1800"/>
    <n v="15"/>
    <n v="1530"/>
    <n v="1"/>
    <s v="Yes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O101"/>
    <d v="2025-01-03T00:00:00"/>
    <x v="0"/>
    <x v="0"/>
    <x v="0"/>
    <x v="0"/>
    <n v="14000"/>
    <n v="1"/>
    <n v="14000"/>
    <n v="5"/>
    <n v="13300"/>
    <n v="2"/>
    <x v="0"/>
    <n v="13300"/>
  </r>
  <r>
    <s v="O102"/>
    <d v="2025-01-04T00:00:00"/>
    <x v="1"/>
    <x v="1"/>
    <x v="1"/>
    <x v="1"/>
    <n v="62000"/>
    <n v="1"/>
    <n v="62000"/>
    <n v="10"/>
    <n v="55800"/>
    <n v="5"/>
    <x v="0"/>
    <n v="55800"/>
  </r>
  <r>
    <s v="O103"/>
    <d v="2025-01-05T00:00:00"/>
    <x v="2"/>
    <x v="0"/>
    <x v="2"/>
    <x v="2"/>
    <n v="1800"/>
    <n v="2"/>
    <n v="3600"/>
    <n v="15"/>
    <n v="3060"/>
    <n v="1"/>
    <x v="1"/>
    <n v="0"/>
  </r>
  <r>
    <s v="O104"/>
    <d v="2025-01-05T00:00:00"/>
    <x v="3"/>
    <x v="2"/>
    <x v="0"/>
    <x v="3"/>
    <n v="69000"/>
    <n v="1"/>
    <n v="69000"/>
    <n v="3"/>
    <n v="66930"/>
    <n v="4"/>
    <x v="0"/>
    <n v="66930"/>
  </r>
  <r>
    <s v="O105"/>
    <d v="2025-01-06T00:00:00"/>
    <x v="1"/>
    <x v="1"/>
    <x v="2"/>
    <x v="4"/>
    <n v="1200"/>
    <n v="1"/>
    <n v="1200"/>
    <n v="0"/>
    <n v="1200"/>
    <n v="2"/>
    <x v="0"/>
    <n v="1200"/>
  </r>
  <r>
    <s v="O106"/>
    <d v="2025-01-06T00:00:00"/>
    <x v="4"/>
    <x v="3"/>
    <x v="1"/>
    <x v="5"/>
    <n v="54000"/>
    <n v="1"/>
    <n v="54000"/>
    <n v="12"/>
    <n v="47520"/>
    <n v="6"/>
    <x v="1"/>
    <n v="0"/>
  </r>
  <r>
    <s v="O107"/>
    <d v="2025-01-07T00:00:00"/>
    <x v="5"/>
    <x v="0"/>
    <x v="2"/>
    <x v="6"/>
    <n v="2500"/>
    <n v="1"/>
    <n v="2500"/>
    <n v="20"/>
    <n v="2000"/>
    <n v="3"/>
    <x v="0"/>
    <n v="2000"/>
  </r>
  <r>
    <s v="O108"/>
    <d v="2025-01-07T00:00:00"/>
    <x v="0"/>
    <x v="0"/>
    <x v="0"/>
    <x v="7"/>
    <n v="17000"/>
    <n v="1"/>
    <n v="17000"/>
    <n v="8"/>
    <n v="15640"/>
    <n v="2"/>
    <x v="0"/>
    <n v="15640"/>
  </r>
  <r>
    <s v="O109"/>
    <d v="2025-01-08T00:00:00"/>
    <x v="6"/>
    <x v="2"/>
    <x v="1"/>
    <x v="8"/>
    <n v="92000"/>
    <n v="1"/>
    <n v="92000"/>
    <n v="5"/>
    <n v="87400"/>
    <n v="7"/>
    <x v="0"/>
    <n v="87400"/>
  </r>
  <r>
    <s v="O110"/>
    <d v="2025-01-09T00:00:00"/>
    <x v="7"/>
    <x v="3"/>
    <x v="2"/>
    <x v="9"/>
    <n v="4500"/>
    <n v="1"/>
    <n v="4500"/>
    <n v="18"/>
    <n v="3690.0000000000005"/>
    <n v="5"/>
    <x v="1"/>
    <n v="0"/>
  </r>
  <r>
    <s v="O111"/>
    <d v="2025-01-10T00:00:00"/>
    <x v="8"/>
    <x v="1"/>
    <x v="0"/>
    <x v="10"/>
    <n v="31000"/>
    <n v="1"/>
    <n v="31000"/>
    <n v="7"/>
    <n v="28829.999999999996"/>
    <n v="3"/>
    <x v="0"/>
    <n v="28829.999999999996"/>
  </r>
  <r>
    <s v="O112"/>
    <d v="2025-01-10T00:00:00"/>
    <x v="2"/>
    <x v="0"/>
    <x v="2"/>
    <x v="2"/>
    <n v="1800"/>
    <n v="1"/>
    <n v="1800"/>
    <n v="15"/>
    <n v="1530"/>
    <n v="1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CCD0B-2292-4875-A9C1-D00C15B19896}" name="PivotTable4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9" firstHeaderRow="1" firstDataRow="2" firstDataCol="1"/>
  <pivotFields count="14">
    <pivotField showAll="0"/>
    <pivotField numFmtId="14" showAll="0"/>
    <pivotField showAll="0"/>
    <pivotField showAll="0"/>
    <pivotField axis="axisRow" showAll="0">
      <items count="4">
        <item x="2"/>
        <item sd="0" x="1"/>
        <item x="0"/>
        <item t="default"/>
      </items>
    </pivotField>
    <pivotField axis="axisRow" showAll="0">
      <items count="12">
        <item x="2"/>
        <item x="1"/>
        <item x="3"/>
        <item x="9"/>
        <item x="5"/>
        <item x="4"/>
        <item x="8"/>
        <item x="6"/>
        <item x="10"/>
        <item x="7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Col" showAll="0">
      <items count="3">
        <item h="1" x="0"/>
        <item x="1"/>
        <item t="default"/>
      </items>
    </pivotField>
    <pivotField showAll="0"/>
  </pivotFields>
  <rowFields count="2">
    <field x="4"/>
    <field x="5"/>
  </rowFields>
  <rowItems count="5">
    <i>
      <x/>
    </i>
    <i r="1">
      <x/>
    </i>
    <i r="1">
      <x v="3"/>
    </i>
    <i>
      <x v="1"/>
    </i>
    <i t="grand">
      <x/>
    </i>
  </rowItems>
  <colFields count="1">
    <field x="12"/>
  </colFields>
  <colItems count="2">
    <i>
      <x v="1"/>
    </i>
    <i t="grand">
      <x/>
    </i>
  </colItems>
  <dataFields count="1">
    <dataField name="Sum of Quantity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AAC381-BB27-4DFA-91BD-1775BEB3F4D5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14">
    <pivotField showAll="0"/>
    <pivotField numFmtId="14" showAll="0"/>
    <pivotField showAll="0"/>
    <pivotField showAll="0"/>
    <pivotField axis="axisRow" showAll="0">
      <items count="4">
        <item x="2"/>
        <item h="1" x="1"/>
        <item h="1" x="0"/>
        <item t="default"/>
      </items>
    </pivotField>
    <pivotField axis="axisRow" showAll="0">
      <items count="12">
        <item x="2"/>
        <item x="1"/>
        <item x="3"/>
        <item x="9"/>
        <item x="5"/>
        <item x="4"/>
        <item x="8"/>
        <item x="6"/>
        <item x="10"/>
        <item x="7"/>
        <item x="0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</pivotFields>
  <rowFields count="2">
    <field x="4"/>
    <field x="5"/>
  </rowFields>
  <rowItems count="6">
    <i>
      <x/>
    </i>
    <i r="1">
      <x/>
    </i>
    <i r="1">
      <x v="3"/>
    </i>
    <i r="1">
      <x v="5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Price" fld="8" baseField="0" baseItem="0"/>
    <dataField name="Sum of Price After Discount" fld="10" baseField="0" baseItem="0"/>
    <dataField name="Final Revenue" fld="13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34D8C-C9E8-408A-9280-9E9D2F6A2798}" name="PivotTable17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M18" firstHeaderRow="0" firstDataRow="1" firstDataCol="1"/>
  <pivotFields count="14">
    <pivotField showAll="0"/>
    <pivotField numFmtId="1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12">
        <item x="2"/>
        <item x="1"/>
        <item x="3"/>
        <item x="9"/>
        <item x="5"/>
        <item x="4"/>
        <item x="8"/>
        <item x="6"/>
        <item x="10"/>
        <item x="7"/>
        <item x="0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</pivotFields>
  <rowFields count="2">
    <field x="4"/>
    <field x="5"/>
  </rowFields>
  <rowItems count="15">
    <i>
      <x/>
    </i>
    <i r="1">
      <x/>
    </i>
    <i r="1">
      <x v="3"/>
    </i>
    <i r="1">
      <x v="5"/>
    </i>
    <i r="1">
      <x v="7"/>
    </i>
    <i>
      <x v="1"/>
    </i>
    <i r="1">
      <x v="1"/>
    </i>
    <i r="1">
      <x v="4"/>
    </i>
    <i r="1">
      <x v="6"/>
    </i>
    <i>
      <x v="2"/>
    </i>
    <i r="1">
      <x v="2"/>
    </i>
    <i r="1">
      <x v="8"/>
    </i>
    <i r="1">
      <x v="9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7" baseField="0" baseItem="0"/>
    <dataField name="Sum of Discount_%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956B9-CB2A-48D5-AC89-3810C29E0155}" name="PivotTable1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H29" firstHeaderRow="1" firstDataRow="2" firstDataCol="1"/>
  <pivotFields count="14">
    <pivotField showAll="0"/>
    <pivotField numFmtId="1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12">
        <item x="2"/>
        <item x="1"/>
        <item x="3"/>
        <item x="9"/>
        <item x="5"/>
        <item x="4"/>
        <item x="8"/>
        <item x="6"/>
        <item x="10"/>
        <item x="7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2">
    <field x="4"/>
    <field x="5"/>
  </rowFields>
  <rowItems count="15">
    <i>
      <x/>
    </i>
    <i r="1">
      <x/>
    </i>
    <i r="1">
      <x v="3"/>
    </i>
    <i r="1">
      <x v="5"/>
    </i>
    <i r="1">
      <x v="7"/>
    </i>
    <i>
      <x v="1"/>
    </i>
    <i r="1">
      <x v="1"/>
    </i>
    <i r="1">
      <x v="4"/>
    </i>
    <i r="1">
      <x v="6"/>
    </i>
    <i>
      <x v="2"/>
    </i>
    <i r="1">
      <x v="2"/>
    </i>
    <i r="1">
      <x v="8"/>
    </i>
    <i r="1">
      <x v="9"/>
    </i>
    <i r="1">
      <x v="10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98C05-F461-451E-8E26-BAA4F7B04630}" name="PivotTable14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32" firstHeaderRow="1" firstDataRow="1" firstDataCol="1"/>
  <pivotFields count="14">
    <pivotField showAll="0"/>
    <pivotField numFmtId="14"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BAFA9-05B7-4419-848E-6CA3F00C920D}" name="PivotTable9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I9" firstHeaderRow="1" firstDataRow="2" firstDataCol="1"/>
  <pivotFields count="14">
    <pivotField showAll="0"/>
    <pivotField numFmtId="14" showAll="0"/>
    <pivotField showAll="0"/>
    <pivotField axis="axisRow" showAll="0">
      <items count="5">
        <item x="2"/>
        <item x="3"/>
        <item x="0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F1ED3-5024-4B73-840F-D7AB79FD9CDB}" name="PivotTable8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14">
    <pivotField showAll="0"/>
    <pivotField numFmtId="1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Row" showAll="0">
      <items count="12">
        <item x="2"/>
        <item x="1"/>
        <item x="3"/>
        <item x="9"/>
        <item x="5"/>
        <item x="4"/>
        <item x="8"/>
        <item x="6"/>
        <item x="10"/>
        <item x="7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5"/>
  </rowFields>
  <rowItems count="15">
    <i>
      <x/>
    </i>
    <i r="1">
      <x/>
    </i>
    <i r="1">
      <x v="3"/>
    </i>
    <i r="1">
      <x v="5"/>
    </i>
    <i r="1">
      <x v="7"/>
    </i>
    <i>
      <x v="1"/>
    </i>
    <i r="1">
      <x v="1"/>
    </i>
    <i r="1">
      <x v="4"/>
    </i>
    <i r="1">
      <x v="6"/>
    </i>
    <i>
      <x v="2"/>
    </i>
    <i r="1">
      <x v="2"/>
    </i>
    <i r="1">
      <x v="8"/>
    </i>
    <i r="1">
      <x v="9"/>
    </i>
    <i r="1">
      <x v="10"/>
    </i>
    <i t="grand">
      <x/>
    </i>
  </rowItems>
  <colItems count="1">
    <i/>
  </colItems>
  <dataFields count="1">
    <dataField name="Sum of 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E8CEE-A6FB-4A81-A1B9-21800A75CBA0}" name="PivotTable18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2:L34" firstHeaderRow="1" firstDataRow="1" firstDataCol="1"/>
  <pivotFields count="14">
    <pivotField showAll="0"/>
    <pivotField numFmtId="14" showAll="0"/>
    <pivotField showAll="0"/>
    <pivotField showAll="0"/>
    <pivotField showAll="0"/>
    <pivotField axis="axisRow" showAll="0">
      <items count="12">
        <item x="2"/>
        <item x="1"/>
        <item x="3"/>
        <item x="9"/>
        <item x="5"/>
        <item x="4"/>
        <item x="8"/>
        <item x="6"/>
        <item x="10"/>
        <item x="7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Delivery_Day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55BFA7-5C2E-4B43-86BB-2D5A6ED8DF7B}" name="Table1" displayName="Table1" ref="A1:N13" totalsRowShown="0" headerRowDxfId="3" dataDxfId="4">
  <autoFilter ref="A1:N13" xr:uid="{FB55BFA7-5C2E-4B43-86BB-2D5A6ED8DF7B}"/>
  <tableColumns count="14">
    <tableColumn id="1" xr3:uid="{8339AF64-AC1A-429B-AF70-CDFC3580AB39}" name="Order_ID" dataDxfId="15"/>
    <tableColumn id="2" xr3:uid="{D73C3133-E135-4757-96F9-2B7690E8C826}" name="Date" dataDxfId="14"/>
    <tableColumn id="3" xr3:uid="{FA2EF14B-6ADD-439C-A648-11590566117C}" name="Customer_ID" dataDxfId="13"/>
    <tableColumn id="4" xr3:uid="{5952CA50-AFDF-497B-BA53-2B6E72E0F14C}" name="City" dataDxfId="12"/>
    <tableColumn id="5" xr3:uid="{9215C521-0DA4-462A-AFF8-34E882EE1560}" name="Product_Category" dataDxfId="11"/>
    <tableColumn id="6" xr3:uid="{87CCD05D-4948-4275-AD9B-8D7F5C1610AE}" name="Product" dataDxfId="10"/>
    <tableColumn id="7" xr3:uid="{9B94597E-6575-4B65-8C86-27B7F87B333B}" name="Price" dataDxfId="9"/>
    <tableColumn id="8" xr3:uid="{6AEB6FF3-FC33-4516-83BD-6A4A50BD42C8}" name="Quantity" dataDxfId="8"/>
    <tableColumn id="9" xr3:uid="{DB33A489-8D25-4602-8DE9-54276649E4C9}" name="Total Price" dataDxfId="7">
      <calculatedColumnFormula>G2*H2</calculatedColumnFormula>
    </tableColumn>
    <tableColumn id="10" xr3:uid="{DDA9D037-E95B-4A6D-9486-448257D81C84}" name="Discount_%" dataDxfId="6"/>
    <tableColumn id="13" xr3:uid="{B2FE0230-0FC8-41E8-813B-B881F4434434}" name="Price After Discount" dataDxfId="2">
      <calculatedColumnFormula>(Table1[[#This Row],[Price]]*Table1[[#This Row],[Quantity]])*(1-(Table1[[#This Row],[Discount_%]]/100))</calculatedColumnFormula>
    </tableColumn>
    <tableColumn id="11" xr3:uid="{7FD3122C-E80E-4778-8CC9-299C6D957432}" name="Delivery_Days" dataDxfId="5"/>
    <tableColumn id="14" xr3:uid="{344D13BE-15F1-44FE-93F3-4B45EC33F0D2}" name="Returned" dataDxfId="1"/>
    <tableColumn id="12" xr3:uid="{9BB09066-7232-406A-A284-BE968E6AFAE0}" name="Net Revenue" dataDxfId="0">
      <calculatedColumnFormula>IF(Table1[[#This Row],[Returned]]="NO",Table1[[#This Row],[Price After Discount]],0)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553A-245C-4566-970D-DC8B935DF224}">
  <dimension ref="A1:B11"/>
  <sheetViews>
    <sheetView workbookViewId="0">
      <selection sqref="A1:B1"/>
    </sheetView>
  </sheetViews>
  <sheetFormatPr defaultRowHeight="14.5" x14ac:dyDescent="0.35"/>
  <sheetData>
    <row r="1" spans="1:2" ht="31" x14ac:dyDescent="0.35">
      <c r="A1" s="14" t="s">
        <v>52</v>
      </c>
      <c r="B1" s="14"/>
    </row>
    <row r="3" spans="1:2" x14ac:dyDescent="0.35">
      <c r="A3" t="s">
        <v>53</v>
      </c>
    </row>
    <row r="5" spans="1:2" x14ac:dyDescent="0.35">
      <c r="A5" t="s">
        <v>54</v>
      </c>
    </row>
    <row r="6" spans="1:2" x14ac:dyDescent="0.35">
      <c r="A6" s="4"/>
    </row>
    <row r="7" spans="1:2" x14ac:dyDescent="0.35">
      <c r="A7" s="4" t="s">
        <v>55</v>
      </c>
    </row>
    <row r="9" spans="1:2" x14ac:dyDescent="0.35">
      <c r="A9" t="s">
        <v>56</v>
      </c>
    </row>
    <row r="11" spans="1:2" x14ac:dyDescent="0.35">
      <c r="A11" t="s">
        <v>57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AE40-94BC-46BB-8FE6-14B033B820F6}">
  <dimension ref="A2:H11"/>
  <sheetViews>
    <sheetView tabSelected="1" workbookViewId="0">
      <selection activeCell="D2" sqref="D2"/>
    </sheetView>
  </sheetViews>
  <sheetFormatPr defaultRowHeight="14.5" x14ac:dyDescent="0.35"/>
  <cols>
    <col min="1" max="1" width="17.7265625" bestFit="1" customWidth="1"/>
    <col min="2" max="2" width="16" bestFit="1" customWidth="1"/>
    <col min="3" max="3" width="24" bestFit="1" customWidth="1"/>
    <col min="4" max="4" width="12.36328125" bestFit="1" customWidth="1"/>
    <col min="6" max="6" width="15.81640625" bestFit="1" customWidth="1"/>
    <col min="7" max="7" width="15.26953125" bestFit="1" customWidth="1"/>
    <col min="8" max="9" width="10.7265625" bestFit="1" customWidth="1"/>
  </cols>
  <sheetData>
    <row r="2" spans="1:8" ht="15.5" x14ac:dyDescent="0.35">
      <c r="A2" s="18" t="s">
        <v>80</v>
      </c>
      <c r="B2" s="18"/>
      <c r="C2" s="18"/>
      <c r="F2" s="17" t="s">
        <v>79</v>
      </c>
    </row>
    <row r="3" spans="1:8" x14ac:dyDescent="0.35">
      <c r="A3" s="5" t="s">
        <v>60</v>
      </c>
      <c r="B3" t="s">
        <v>73</v>
      </c>
      <c r="C3" t="s">
        <v>75</v>
      </c>
      <c r="D3" t="s">
        <v>77</v>
      </c>
      <c r="F3" s="5" t="s">
        <v>61</v>
      </c>
      <c r="G3" s="5" t="s">
        <v>58</v>
      </c>
    </row>
    <row r="4" spans="1:8" x14ac:dyDescent="0.35">
      <c r="A4" s="6" t="s">
        <v>24</v>
      </c>
      <c r="B4" s="15">
        <v>13600</v>
      </c>
      <c r="C4" s="15">
        <v>11480</v>
      </c>
      <c r="D4" s="15">
        <v>3200</v>
      </c>
      <c r="F4" s="5" t="s">
        <v>60</v>
      </c>
      <c r="G4" t="s">
        <v>26</v>
      </c>
      <c r="H4" t="s">
        <v>59</v>
      </c>
    </row>
    <row r="5" spans="1:8" x14ac:dyDescent="0.35">
      <c r="A5" s="9" t="s">
        <v>25</v>
      </c>
      <c r="B5" s="15">
        <v>5400</v>
      </c>
      <c r="C5" s="15">
        <v>4590</v>
      </c>
      <c r="D5" s="15">
        <v>0</v>
      </c>
      <c r="F5" s="6" t="s">
        <v>24</v>
      </c>
      <c r="G5" s="16">
        <v>0.8</v>
      </c>
      <c r="H5" s="16">
        <v>0.8</v>
      </c>
    </row>
    <row r="6" spans="1:8" x14ac:dyDescent="0.35">
      <c r="A6" s="9" t="s">
        <v>47</v>
      </c>
      <c r="B6" s="15">
        <v>4500</v>
      </c>
      <c r="C6" s="15">
        <v>3690.0000000000005</v>
      </c>
      <c r="D6" s="15">
        <v>0</v>
      </c>
      <c r="F6" s="9" t="s">
        <v>25</v>
      </c>
      <c r="G6" s="16">
        <v>0.6</v>
      </c>
      <c r="H6" s="16">
        <v>0.6</v>
      </c>
    </row>
    <row r="7" spans="1:8" x14ac:dyDescent="0.35">
      <c r="A7" s="9" t="s">
        <v>32</v>
      </c>
      <c r="B7" s="15">
        <v>1200</v>
      </c>
      <c r="C7" s="15">
        <v>1200</v>
      </c>
      <c r="D7" s="15">
        <v>1200</v>
      </c>
      <c r="F7" s="9" t="s">
        <v>47</v>
      </c>
      <c r="G7" s="16">
        <v>0.2</v>
      </c>
      <c r="H7" s="16">
        <v>0.2</v>
      </c>
    </row>
    <row r="8" spans="1:8" x14ac:dyDescent="0.35">
      <c r="A8" s="9" t="s">
        <v>39</v>
      </c>
      <c r="B8" s="15">
        <v>2500</v>
      </c>
      <c r="C8" s="15">
        <v>2000</v>
      </c>
      <c r="D8" s="15">
        <v>2000</v>
      </c>
      <c r="F8" s="6" t="s">
        <v>20</v>
      </c>
      <c r="G8" s="16">
        <v>0.2</v>
      </c>
      <c r="H8" s="16">
        <v>0.2</v>
      </c>
    </row>
    <row r="9" spans="1:8" x14ac:dyDescent="0.35">
      <c r="A9" s="6" t="s">
        <v>59</v>
      </c>
      <c r="B9" s="15">
        <v>13600</v>
      </c>
      <c r="C9" s="15">
        <v>11480</v>
      </c>
      <c r="D9" s="15">
        <v>3200</v>
      </c>
      <c r="F9" s="6" t="s">
        <v>59</v>
      </c>
      <c r="G9" s="16">
        <v>1</v>
      </c>
      <c r="H9" s="16">
        <v>1</v>
      </c>
    </row>
    <row r="10" spans="1:8" ht="15" thickBot="1" x14ac:dyDescent="0.4"/>
    <row r="11" spans="1:8" ht="15" thickBot="1" x14ac:dyDescent="0.4">
      <c r="C11" s="20" t="s">
        <v>78</v>
      </c>
      <c r="D11" s="19">
        <f>GETPIVOTDATA("Final Revenue",$A$3)/GETPIVOTDATA("Sum of Total Price",$A$3)</f>
        <v>0.23529411764705882</v>
      </c>
    </row>
  </sheetData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6B77-ABFB-4C13-8CDE-84617654CFF6}">
  <dimension ref="A1:N13"/>
  <sheetViews>
    <sheetView topLeftCell="E1" workbookViewId="0">
      <selection activeCell="N2" sqref="N2"/>
    </sheetView>
  </sheetViews>
  <sheetFormatPr defaultRowHeight="14.5" x14ac:dyDescent="0.35"/>
  <cols>
    <col min="1" max="1" width="10.54296875" customWidth="1"/>
    <col min="2" max="2" width="10.08984375" bestFit="1" customWidth="1"/>
    <col min="3" max="3" width="13.81640625" customWidth="1"/>
    <col min="4" max="4" width="11.26953125" customWidth="1"/>
    <col min="5" max="5" width="17.90625" customWidth="1"/>
    <col min="6" max="6" width="13.26953125" customWidth="1"/>
    <col min="7" max="7" width="6.90625" customWidth="1"/>
    <col min="8" max="8" width="10.1796875" customWidth="1"/>
    <col min="9" max="9" width="11.6328125" customWidth="1"/>
    <col min="10" max="11" width="14.1796875" customWidth="1"/>
    <col min="12" max="13" width="14.90625" customWidth="1"/>
    <col min="14" max="14" width="11.90625" customWidth="1"/>
  </cols>
  <sheetData>
    <row r="1" spans="1:1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8" t="s">
        <v>8</v>
      </c>
      <c r="K1" s="8" t="s">
        <v>74</v>
      </c>
      <c r="L1" s="1" t="s">
        <v>9</v>
      </c>
      <c r="M1" s="1" t="s">
        <v>10</v>
      </c>
      <c r="N1" s="1" t="s">
        <v>76</v>
      </c>
    </row>
    <row r="2" spans="1:14" x14ac:dyDescent="0.35">
      <c r="A2" s="2" t="s">
        <v>11</v>
      </c>
      <c r="B2" s="3">
        <v>45660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14000</v>
      </c>
      <c r="H2" s="2">
        <v>1</v>
      </c>
      <c r="I2" s="2">
        <f>G2*H2</f>
        <v>14000</v>
      </c>
      <c r="J2" s="2">
        <v>5</v>
      </c>
      <c r="K2" s="2">
        <f>(Table1[[#This Row],[Price]]*Table1[[#This Row],[Quantity]])*(1-(Table1[[#This Row],[Discount_%]]/100))</f>
        <v>13300</v>
      </c>
      <c r="L2" s="2">
        <v>2</v>
      </c>
      <c r="M2" s="2" t="s">
        <v>16</v>
      </c>
      <c r="N2" s="2">
        <f>IF(Table1[[#This Row],[Returned]]="NO",Table1[[#This Row],[Price After Discount]],0)</f>
        <v>13300</v>
      </c>
    </row>
    <row r="3" spans="1:14" x14ac:dyDescent="0.35">
      <c r="A3" s="2" t="s">
        <v>17</v>
      </c>
      <c r="B3" s="3">
        <v>45661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62000</v>
      </c>
      <c r="H3" s="2">
        <v>1</v>
      </c>
      <c r="I3" s="2">
        <f t="shared" ref="I3:I13" si="0">G3*H3</f>
        <v>62000</v>
      </c>
      <c r="J3" s="2">
        <v>10</v>
      </c>
      <c r="K3" s="2">
        <f>(Table1[[#This Row],[Price]]*Table1[[#This Row],[Quantity]])*(1-(Table1[[#This Row],[Discount_%]]/100))</f>
        <v>55800</v>
      </c>
      <c r="L3" s="2">
        <v>5</v>
      </c>
      <c r="M3" s="2" t="s">
        <v>16</v>
      </c>
      <c r="N3" s="2">
        <f>IF(Table1[[#This Row],[Returned]]="NO",Table1[[#This Row],[Price After Discount]],0)</f>
        <v>55800</v>
      </c>
    </row>
    <row r="4" spans="1:14" x14ac:dyDescent="0.35">
      <c r="A4" s="2" t="s">
        <v>22</v>
      </c>
      <c r="B4" s="3">
        <v>45662</v>
      </c>
      <c r="C4" s="2" t="s">
        <v>23</v>
      </c>
      <c r="D4" s="2" t="s">
        <v>13</v>
      </c>
      <c r="E4" s="2" t="s">
        <v>24</v>
      </c>
      <c r="F4" s="2" t="s">
        <v>25</v>
      </c>
      <c r="G4" s="2">
        <v>1800</v>
      </c>
      <c r="H4" s="2">
        <v>2</v>
      </c>
      <c r="I4" s="2">
        <f t="shared" si="0"/>
        <v>3600</v>
      </c>
      <c r="J4" s="2">
        <v>15</v>
      </c>
      <c r="K4" s="2">
        <f>(Table1[[#This Row],[Price]]*Table1[[#This Row],[Quantity]])*(1-(Table1[[#This Row],[Discount_%]]/100))</f>
        <v>3060</v>
      </c>
      <c r="L4" s="2">
        <v>1</v>
      </c>
      <c r="M4" s="2" t="s">
        <v>26</v>
      </c>
      <c r="N4" s="2">
        <f>IF(Table1[[#This Row],[Returned]]="NO",Table1[[#This Row],[Price After Discount]],0)</f>
        <v>0</v>
      </c>
    </row>
    <row r="5" spans="1:14" x14ac:dyDescent="0.35">
      <c r="A5" s="2" t="s">
        <v>27</v>
      </c>
      <c r="B5" s="3">
        <v>45662</v>
      </c>
      <c r="C5" s="2" t="s">
        <v>28</v>
      </c>
      <c r="D5" s="2" t="s">
        <v>29</v>
      </c>
      <c r="E5" s="2" t="s">
        <v>14</v>
      </c>
      <c r="F5" s="2" t="s">
        <v>30</v>
      </c>
      <c r="G5" s="2">
        <v>69000</v>
      </c>
      <c r="H5" s="2">
        <v>1</v>
      </c>
      <c r="I5" s="2">
        <f t="shared" si="0"/>
        <v>69000</v>
      </c>
      <c r="J5" s="2">
        <v>3</v>
      </c>
      <c r="K5" s="2">
        <f>(Table1[[#This Row],[Price]]*Table1[[#This Row],[Quantity]])*(1-(Table1[[#This Row],[Discount_%]]/100))</f>
        <v>66930</v>
      </c>
      <c r="L5" s="2">
        <v>4</v>
      </c>
      <c r="M5" s="2" t="s">
        <v>16</v>
      </c>
      <c r="N5" s="2">
        <f>IF(Table1[[#This Row],[Returned]]="NO",Table1[[#This Row],[Price After Discount]],0)</f>
        <v>66930</v>
      </c>
    </row>
    <row r="6" spans="1:14" ht="29" x14ac:dyDescent="0.35">
      <c r="A6" s="2" t="s">
        <v>31</v>
      </c>
      <c r="B6" s="3">
        <v>45663</v>
      </c>
      <c r="C6" s="2" t="s">
        <v>18</v>
      </c>
      <c r="D6" s="2" t="s">
        <v>19</v>
      </c>
      <c r="E6" s="2" t="s">
        <v>24</v>
      </c>
      <c r="F6" s="2" t="s">
        <v>32</v>
      </c>
      <c r="G6" s="2">
        <v>1200</v>
      </c>
      <c r="H6" s="2">
        <v>1</v>
      </c>
      <c r="I6" s="2">
        <f t="shared" si="0"/>
        <v>1200</v>
      </c>
      <c r="J6" s="2">
        <v>0</v>
      </c>
      <c r="K6" s="2">
        <f>(Table1[[#This Row],[Price]]*Table1[[#This Row],[Quantity]])*(1-(Table1[[#This Row],[Discount_%]]/100))</f>
        <v>1200</v>
      </c>
      <c r="L6" s="2">
        <v>2</v>
      </c>
      <c r="M6" s="2" t="s">
        <v>16</v>
      </c>
      <c r="N6" s="2">
        <f>IF(Table1[[#This Row],[Returned]]="NO",Table1[[#This Row],[Price After Discount]],0)</f>
        <v>1200</v>
      </c>
    </row>
    <row r="7" spans="1:14" ht="29" x14ac:dyDescent="0.35">
      <c r="A7" s="2" t="s">
        <v>33</v>
      </c>
      <c r="B7" s="3">
        <v>45663</v>
      </c>
      <c r="C7" s="2" t="s">
        <v>34</v>
      </c>
      <c r="D7" s="2" t="s">
        <v>35</v>
      </c>
      <c r="E7" s="2" t="s">
        <v>20</v>
      </c>
      <c r="F7" s="2" t="s">
        <v>36</v>
      </c>
      <c r="G7" s="2">
        <v>54000</v>
      </c>
      <c r="H7" s="2">
        <v>1</v>
      </c>
      <c r="I7" s="2">
        <f t="shared" si="0"/>
        <v>54000</v>
      </c>
      <c r="J7" s="2">
        <v>12</v>
      </c>
      <c r="K7" s="2">
        <f>(Table1[[#This Row],[Price]]*Table1[[#This Row],[Quantity]])*(1-(Table1[[#This Row],[Discount_%]]/100))</f>
        <v>47520</v>
      </c>
      <c r="L7" s="2">
        <v>6</v>
      </c>
      <c r="M7" s="2" t="s">
        <v>26</v>
      </c>
      <c r="N7" s="2">
        <f>IF(Table1[[#This Row],[Returned]]="NO",Table1[[#This Row],[Price After Discount]],0)</f>
        <v>0</v>
      </c>
    </row>
    <row r="8" spans="1:14" x14ac:dyDescent="0.35">
      <c r="A8" s="2" t="s">
        <v>37</v>
      </c>
      <c r="B8" s="3">
        <v>45664</v>
      </c>
      <c r="C8" s="2" t="s">
        <v>38</v>
      </c>
      <c r="D8" s="2" t="s">
        <v>13</v>
      </c>
      <c r="E8" s="2" t="s">
        <v>24</v>
      </c>
      <c r="F8" s="2" t="s">
        <v>39</v>
      </c>
      <c r="G8" s="2">
        <v>2500</v>
      </c>
      <c r="H8" s="2">
        <v>1</v>
      </c>
      <c r="I8" s="2">
        <f t="shared" si="0"/>
        <v>2500</v>
      </c>
      <c r="J8" s="2">
        <v>20</v>
      </c>
      <c r="K8" s="2">
        <f>(Table1[[#This Row],[Price]]*Table1[[#This Row],[Quantity]])*(1-(Table1[[#This Row],[Discount_%]]/100))</f>
        <v>2000</v>
      </c>
      <c r="L8" s="2">
        <v>3</v>
      </c>
      <c r="M8" s="2" t="s">
        <v>16</v>
      </c>
      <c r="N8" s="2">
        <f>IF(Table1[[#This Row],[Returned]]="NO",Table1[[#This Row],[Price After Discount]],0)</f>
        <v>2000</v>
      </c>
    </row>
    <row r="9" spans="1:14" x14ac:dyDescent="0.35">
      <c r="A9" s="2" t="s">
        <v>40</v>
      </c>
      <c r="B9" s="3">
        <v>45664</v>
      </c>
      <c r="C9" s="2" t="s">
        <v>12</v>
      </c>
      <c r="D9" s="2" t="s">
        <v>13</v>
      </c>
      <c r="E9" s="2" t="s">
        <v>14</v>
      </c>
      <c r="F9" s="2" t="s">
        <v>41</v>
      </c>
      <c r="G9" s="2">
        <v>17000</v>
      </c>
      <c r="H9" s="2">
        <v>1</v>
      </c>
      <c r="I9" s="2">
        <f t="shared" si="0"/>
        <v>17000</v>
      </c>
      <c r="J9" s="2">
        <v>8</v>
      </c>
      <c r="K9" s="2">
        <f>(Table1[[#This Row],[Price]]*Table1[[#This Row],[Quantity]])*(1-(Table1[[#This Row],[Discount_%]]/100))</f>
        <v>15640</v>
      </c>
      <c r="L9" s="2">
        <v>2</v>
      </c>
      <c r="M9" s="2" t="s">
        <v>16</v>
      </c>
      <c r="N9" s="2">
        <f>IF(Table1[[#This Row],[Returned]]="NO",Table1[[#This Row],[Price After Discount]],0)</f>
        <v>15640</v>
      </c>
    </row>
    <row r="10" spans="1:14" x14ac:dyDescent="0.35">
      <c r="A10" s="2" t="s">
        <v>42</v>
      </c>
      <c r="B10" s="3">
        <v>45665</v>
      </c>
      <c r="C10" s="2" t="s">
        <v>43</v>
      </c>
      <c r="D10" s="2" t="s">
        <v>29</v>
      </c>
      <c r="E10" s="2" t="s">
        <v>20</v>
      </c>
      <c r="F10" s="2" t="s">
        <v>44</v>
      </c>
      <c r="G10" s="2">
        <v>92000</v>
      </c>
      <c r="H10" s="2">
        <v>1</v>
      </c>
      <c r="I10" s="2">
        <f t="shared" si="0"/>
        <v>92000</v>
      </c>
      <c r="J10" s="2">
        <v>5</v>
      </c>
      <c r="K10" s="2">
        <f>(Table1[[#This Row],[Price]]*Table1[[#This Row],[Quantity]])*(1-(Table1[[#This Row],[Discount_%]]/100))</f>
        <v>87400</v>
      </c>
      <c r="L10" s="2">
        <v>7</v>
      </c>
      <c r="M10" s="2" t="s">
        <v>16</v>
      </c>
      <c r="N10" s="2">
        <f>IF(Table1[[#This Row],[Returned]]="NO",Table1[[#This Row],[Price After Discount]],0)</f>
        <v>87400</v>
      </c>
    </row>
    <row r="11" spans="1:14" x14ac:dyDescent="0.35">
      <c r="A11" s="2" t="s">
        <v>45</v>
      </c>
      <c r="B11" s="3">
        <v>45666</v>
      </c>
      <c r="C11" s="2" t="s">
        <v>46</v>
      </c>
      <c r="D11" s="2" t="s">
        <v>35</v>
      </c>
      <c r="E11" s="2" t="s">
        <v>24</v>
      </c>
      <c r="F11" s="2" t="s">
        <v>47</v>
      </c>
      <c r="G11" s="2">
        <v>4500</v>
      </c>
      <c r="H11" s="2">
        <v>1</v>
      </c>
      <c r="I11" s="2">
        <f t="shared" si="0"/>
        <v>4500</v>
      </c>
      <c r="J11" s="2">
        <v>18</v>
      </c>
      <c r="K11" s="2">
        <f>(Table1[[#This Row],[Price]]*Table1[[#This Row],[Quantity]])*(1-(Table1[[#This Row],[Discount_%]]/100))</f>
        <v>3690.0000000000005</v>
      </c>
      <c r="L11" s="2">
        <v>5</v>
      </c>
      <c r="M11" s="2" t="s">
        <v>26</v>
      </c>
      <c r="N11" s="2">
        <f>IF(Table1[[#This Row],[Returned]]="NO",Table1[[#This Row],[Price After Discount]],0)</f>
        <v>0</v>
      </c>
    </row>
    <row r="12" spans="1:14" x14ac:dyDescent="0.35">
      <c r="A12" s="2" t="s">
        <v>48</v>
      </c>
      <c r="B12" s="3">
        <v>45667</v>
      </c>
      <c r="C12" s="2" t="s">
        <v>49</v>
      </c>
      <c r="D12" s="2" t="s">
        <v>19</v>
      </c>
      <c r="E12" s="2" t="s">
        <v>14</v>
      </c>
      <c r="F12" s="2" t="s">
        <v>50</v>
      </c>
      <c r="G12" s="2">
        <v>31000</v>
      </c>
      <c r="H12" s="2">
        <v>1</v>
      </c>
      <c r="I12" s="2">
        <f t="shared" si="0"/>
        <v>31000</v>
      </c>
      <c r="J12" s="2">
        <v>7</v>
      </c>
      <c r="K12" s="2">
        <f>(Table1[[#This Row],[Price]]*Table1[[#This Row],[Quantity]])*(1-(Table1[[#This Row],[Discount_%]]/100))</f>
        <v>28829.999999999996</v>
      </c>
      <c r="L12" s="2">
        <v>3</v>
      </c>
      <c r="M12" s="2" t="s">
        <v>16</v>
      </c>
      <c r="N12" s="2">
        <f>IF(Table1[[#This Row],[Returned]]="NO",Table1[[#This Row],[Price After Discount]],0)</f>
        <v>28829.999999999996</v>
      </c>
    </row>
    <row r="13" spans="1:14" x14ac:dyDescent="0.35">
      <c r="A13" s="2" t="s">
        <v>51</v>
      </c>
      <c r="B13" s="3">
        <v>45667</v>
      </c>
      <c r="C13" s="2" t="s">
        <v>23</v>
      </c>
      <c r="D13" s="2" t="s">
        <v>13</v>
      </c>
      <c r="E13" s="2" t="s">
        <v>24</v>
      </c>
      <c r="F13" s="2" t="s">
        <v>25</v>
      </c>
      <c r="G13" s="2">
        <v>1800</v>
      </c>
      <c r="H13" s="2">
        <v>1</v>
      </c>
      <c r="I13" s="2">
        <f t="shared" si="0"/>
        <v>1800</v>
      </c>
      <c r="J13" s="2">
        <v>15</v>
      </c>
      <c r="K13" s="2">
        <f>(Table1[[#This Row],[Price]]*Table1[[#This Row],[Quantity]])*(1-(Table1[[#This Row],[Discount_%]]/100))</f>
        <v>1530</v>
      </c>
      <c r="L13" s="2">
        <v>1</v>
      </c>
      <c r="M13" s="2" t="s">
        <v>26</v>
      </c>
      <c r="N13" s="2">
        <f>IF(Table1[[#This Row],[Returned]]="NO",Table1[[#This Row],[Price After Discount]],0)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13C8-D6DA-44B3-8F2D-300811686DA0}">
  <dimension ref="A1:Z34"/>
  <sheetViews>
    <sheetView zoomScale="55" zoomScaleNormal="55" workbookViewId="0">
      <selection activeCell="A22" sqref="A22:B32"/>
    </sheetView>
  </sheetViews>
  <sheetFormatPr defaultRowHeight="14.5" x14ac:dyDescent="0.35"/>
  <cols>
    <col min="1" max="1" width="18.453125" bestFit="1" customWidth="1"/>
    <col min="2" max="2" width="11.36328125" bestFit="1" customWidth="1"/>
    <col min="3" max="3" width="17.1796875" bestFit="1" customWidth="1"/>
    <col min="5" max="5" width="14.6328125" bestFit="1" customWidth="1"/>
    <col min="6" max="6" width="16.90625" bestFit="1" customWidth="1"/>
    <col min="7" max="7" width="6.6328125" bestFit="1" customWidth="1"/>
    <col min="8" max="8" width="6.7265625" bestFit="1" customWidth="1"/>
    <col min="9" max="10" width="10.7265625" bestFit="1" customWidth="1"/>
    <col min="11" max="11" width="15.6328125" bestFit="1" customWidth="1"/>
    <col min="12" max="12" width="19.7265625" bestFit="1" customWidth="1"/>
    <col min="13" max="13" width="17.26953125" bestFit="1" customWidth="1"/>
    <col min="14" max="16" width="2" bestFit="1" customWidth="1"/>
    <col min="17" max="21" width="3.08984375" bestFit="1" customWidth="1"/>
    <col min="22" max="22" width="10.81640625" bestFit="1" customWidth="1"/>
  </cols>
  <sheetData>
    <row r="1" spans="1:26" x14ac:dyDescent="0.35">
      <c r="B1" t="s">
        <v>64</v>
      </c>
    </row>
    <row r="2" spans="1:26" x14ac:dyDescent="0.35">
      <c r="A2" s="10" t="s">
        <v>65</v>
      </c>
      <c r="E2" s="10" t="s">
        <v>66</v>
      </c>
      <c r="K2" s="10" t="s">
        <v>70</v>
      </c>
      <c r="Z2" s="10"/>
    </row>
    <row r="3" spans="1:26" x14ac:dyDescent="0.35">
      <c r="A3" s="5" t="s">
        <v>60</v>
      </c>
      <c r="B3" t="s">
        <v>63</v>
      </c>
      <c r="C3" s="7" t="s">
        <v>63</v>
      </c>
      <c r="E3" s="5" t="s">
        <v>61</v>
      </c>
      <c r="F3" s="5" t="s">
        <v>58</v>
      </c>
      <c r="K3" s="5" t="s">
        <v>60</v>
      </c>
      <c r="L3" t="s">
        <v>61</v>
      </c>
      <c r="M3" t="s">
        <v>69</v>
      </c>
    </row>
    <row r="4" spans="1:26" x14ac:dyDescent="0.35">
      <c r="A4" s="6" t="s">
        <v>24</v>
      </c>
      <c r="B4" s="15">
        <v>11800</v>
      </c>
      <c r="C4" s="11">
        <v>3.3637400228050174E-2</v>
      </c>
      <c r="E4" s="5" t="s">
        <v>60</v>
      </c>
      <c r="F4" t="s">
        <v>24</v>
      </c>
      <c r="G4" t="s">
        <v>20</v>
      </c>
      <c r="H4" t="s">
        <v>14</v>
      </c>
      <c r="I4" t="s">
        <v>59</v>
      </c>
      <c r="K4" s="6" t="s">
        <v>24</v>
      </c>
      <c r="L4" s="15">
        <v>6</v>
      </c>
      <c r="M4" s="15">
        <v>68</v>
      </c>
    </row>
    <row r="5" spans="1:26" x14ac:dyDescent="0.35">
      <c r="A5" s="9" t="s">
        <v>25</v>
      </c>
      <c r="B5" s="15">
        <v>3600</v>
      </c>
      <c r="C5" s="11">
        <v>0.59293044469783351</v>
      </c>
      <c r="E5" s="6" t="s">
        <v>29</v>
      </c>
      <c r="F5" s="15"/>
      <c r="G5" s="15">
        <v>1</v>
      </c>
      <c r="H5" s="15">
        <v>1</v>
      </c>
      <c r="I5" s="15">
        <v>2</v>
      </c>
      <c r="K5" s="9" t="s">
        <v>25</v>
      </c>
      <c r="L5" s="15">
        <v>3</v>
      </c>
      <c r="M5" s="15">
        <v>30</v>
      </c>
    </row>
    <row r="6" spans="1:26" x14ac:dyDescent="0.35">
      <c r="A6" s="9" t="s">
        <v>47</v>
      </c>
      <c r="B6" s="15">
        <v>4500</v>
      </c>
      <c r="C6" s="11">
        <v>0.37343215507411631</v>
      </c>
      <c r="E6" s="6" t="s">
        <v>35</v>
      </c>
      <c r="F6" s="15">
        <v>1</v>
      </c>
      <c r="G6" s="15">
        <v>1</v>
      </c>
      <c r="H6" s="15"/>
      <c r="I6" s="15">
        <v>2</v>
      </c>
      <c r="K6" s="9" t="s">
        <v>47</v>
      </c>
      <c r="L6" s="15">
        <v>1</v>
      </c>
      <c r="M6" s="15">
        <v>18</v>
      </c>
    </row>
    <row r="7" spans="1:26" x14ac:dyDescent="0.35">
      <c r="A7" s="9" t="s">
        <v>32</v>
      </c>
      <c r="B7" s="15">
        <v>1200</v>
      </c>
      <c r="C7" s="12">
        <v>1</v>
      </c>
      <c r="E7" s="6" t="s">
        <v>13</v>
      </c>
      <c r="F7" s="15">
        <v>4</v>
      </c>
      <c r="G7" s="15"/>
      <c r="H7" s="15">
        <v>2</v>
      </c>
      <c r="I7" s="15">
        <v>6</v>
      </c>
      <c r="K7" s="9" t="s">
        <v>32</v>
      </c>
      <c r="L7" s="15">
        <v>1</v>
      </c>
      <c r="M7" s="15">
        <v>0</v>
      </c>
    </row>
    <row r="8" spans="1:26" x14ac:dyDescent="0.35">
      <c r="A8" s="9" t="s">
        <v>39</v>
      </c>
      <c r="B8" s="15">
        <v>2500</v>
      </c>
      <c r="E8" s="6" t="s">
        <v>19</v>
      </c>
      <c r="F8" s="15">
        <v>1</v>
      </c>
      <c r="G8" s="15">
        <v>1</v>
      </c>
      <c r="H8" s="15">
        <v>1</v>
      </c>
      <c r="I8" s="15">
        <v>3</v>
      </c>
      <c r="K8" s="9" t="s">
        <v>39</v>
      </c>
      <c r="L8" s="15">
        <v>1</v>
      </c>
      <c r="M8" s="15">
        <v>20</v>
      </c>
    </row>
    <row r="9" spans="1:26" x14ac:dyDescent="0.35">
      <c r="A9" s="6" t="s">
        <v>20</v>
      </c>
      <c r="B9" s="15">
        <v>208000</v>
      </c>
      <c r="E9" s="6" t="s">
        <v>59</v>
      </c>
      <c r="F9" s="15">
        <v>6</v>
      </c>
      <c r="G9" s="15">
        <v>3</v>
      </c>
      <c r="H9" s="15">
        <v>4</v>
      </c>
      <c r="I9" s="15">
        <v>13</v>
      </c>
      <c r="K9" s="6" t="s">
        <v>20</v>
      </c>
      <c r="L9" s="15">
        <v>3</v>
      </c>
      <c r="M9" s="15">
        <v>27</v>
      </c>
    </row>
    <row r="10" spans="1:26" x14ac:dyDescent="0.35">
      <c r="A10" s="9" t="s">
        <v>21</v>
      </c>
      <c r="B10" s="15">
        <v>62000</v>
      </c>
      <c r="K10" s="9" t="s">
        <v>21</v>
      </c>
      <c r="L10" s="15">
        <v>1</v>
      </c>
      <c r="M10" s="15">
        <v>10</v>
      </c>
    </row>
    <row r="11" spans="1:26" x14ac:dyDescent="0.35">
      <c r="A11" s="9" t="s">
        <v>36</v>
      </c>
      <c r="B11" s="15">
        <v>54000</v>
      </c>
      <c r="K11" s="9" t="s">
        <v>36</v>
      </c>
      <c r="L11" s="15">
        <v>1</v>
      </c>
      <c r="M11" s="15">
        <v>12</v>
      </c>
    </row>
    <row r="12" spans="1:26" x14ac:dyDescent="0.35">
      <c r="A12" s="9" t="s">
        <v>44</v>
      </c>
      <c r="B12" s="15">
        <v>92000</v>
      </c>
      <c r="E12" s="10" t="s">
        <v>67</v>
      </c>
      <c r="K12" s="9" t="s">
        <v>44</v>
      </c>
      <c r="L12" s="15">
        <v>1</v>
      </c>
      <c r="M12" s="15">
        <v>5</v>
      </c>
    </row>
    <row r="13" spans="1:26" x14ac:dyDescent="0.35">
      <c r="A13" s="6" t="s">
        <v>14</v>
      </c>
      <c r="B13" s="15">
        <v>131000</v>
      </c>
      <c r="E13" s="5" t="s">
        <v>61</v>
      </c>
      <c r="F13" s="5" t="s">
        <v>58</v>
      </c>
      <c r="K13" s="6" t="s">
        <v>14</v>
      </c>
      <c r="L13" s="15">
        <v>4</v>
      </c>
      <c r="M13" s="15">
        <v>23</v>
      </c>
    </row>
    <row r="14" spans="1:26" x14ac:dyDescent="0.35">
      <c r="A14" s="9" t="s">
        <v>30</v>
      </c>
      <c r="B14" s="15">
        <v>69000</v>
      </c>
      <c r="E14" s="5" t="s">
        <v>60</v>
      </c>
      <c r="F14" t="s">
        <v>16</v>
      </c>
      <c r="G14" t="s">
        <v>26</v>
      </c>
      <c r="H14" t="s">
        <v>59</v>
      </c>
      <c r="K14" s="9" t="s">
        <v>30</v>
      </c>
      <c r="L14" s="15">
        <v>1</v>
      </c>
      <c r="M14" s="15">
        <v>3</v>
      </c>
    </row>
    <row r="15" spans="1:26" x14ac:dyDescent="0.35">
      <c r="A15" s="9" t="s">
        <v>50</v>
      </c>
      <c r="B15" s="15">
        <v>31000</v>
      </c>
      <c r="E15" s="6" t="s">
        <v>24</v>
      </c>
      <c r="F15" s="15">
        <v>2</v>
      </c>
      <c r="G15" s="15">
        <v>4</v>
      </c>
      <c r="H15" s="15">
        <v>6</v>
      </c>
      <c r="K15" s="9" t="s">
        <v>50</v>
      </c>
      <c r="L15" s="15">
        <v>1</v>
      </c>
      <c r="M15" s="15">
        <v>7</v>
      </c>
    </row>
    <row r="16" spans="1:26" x14ac:dyDescent="0.35">
      <c r="A16" s="9" t="s">
        <v>41</v>
      </c>
      <c r="B16" s="15">
        <v>17000</v>
      </c>
      <c r="E16" s="9" t="s">
        <v>25</v>
      </c>
      <c r="F16" s="15"/>
      <c r="G16" s="15">
        <v>3</v>
      </c>
      <c r="H16" s="15">
        <v>3</v>
      </c>
      <c r="K16" s="9" t="s">
        <v>41</v>
      </c>
      <c r="L16" s="15">
        <v>1</v>
      </c>
      <c r="M16" s="15">
        <v>8</v>
      </c>
    </row>
    <row r="17" spans="1:13" x14ac:dyDescent="0.35">
      <c r="A17" s="9" t="s">
        <v>15</v>
      </c>
      <c r="B17" s="15">
        <v>14000</v>
      </c>
      <c r="E17" s="9" t="s">
        <v>47</v>
      </c>
      <c r="F17" s="15"/>
      <c r="G17" s="15">
        <v>1</v>
      </c>
      <c r="H17" s="15">
        <v>1</v>
      </c>
      <c r="K17" s="9" t="s">
        <v>15</v>
      </c>
      <c r="L17" s="15">
        <v>1</v>
      </c>
      <c r="M17" s="15">
        <v>5</v>
      </c>
    </row>
    <row r="18" spans="1:13" x14ac:dyDescent="0.35">
      <c r="A18" s="6" t="s">
        <v>59</v>
      </c>
      <c r="B18" s="15">
        <v>350800</v>
      </c>
      <c r="E18" s="9" t="s">
        <v>32</v>
      </c>
      <c r="F18" s="15">
        <v>1</v>
      </c>
      <c r="G18" s="15"/>
      <c r="H18" s="15">
        <v>1</v>
      </c>
      <c r="K18" s="6" t="s">
        <v>59</v>
      </c>
      <c r="L18" s="15">
        <v>13</v>
      </c>
      <c r="M18" s="15">
        <v>118</v>
      </c>
    </row>
    <row r="19" spans="1:13" x14ac:dyDescent="0.35">
      <c r="E19" s="9" t="s">
        <v>39</v>
      </c>
      <c r="F19" s="15">
        <v>1</v>
      </c>
      <c r="G19" s="15"/>
      <c r="H19" s="15">
        <v>1</v>
      </c>
    </row>
    <row r="20" spans="1:13" x14ac:dyDescent="0.35">
      <c r="E20" s="6" t="s">
        <v>20</v>
      </c>
      <c r="F20" s="15">
        <v>2</v>
      </c>
      <c r="G20" s="15">
        <v>1</v>
      </c>
      <c r="H20" s="15">
        <v>3</v>
      </c>
    </row>
    <row r="21" spans="1:13" x14ac:dyDescent="0.35">
      <c r="A21" s="13" t="s">
        <v>68</v>
      </c>
      <c r="E21" s="9" t="s">
        <v>21</v>
      </c>
      <c r="F21" s="15">
        <v>1</v>
      </c>
      <c r="G21" s="15"/>
      <c r="H21" s="15">
        <v>1</v>
      </c>
      <c r="K21" s="10" t="s">
        <v>71</v>
      </c>
    </row>
    <row r="22" spans="1:13" x14ac:dyDescent="0.35">
      <c r="A22" s="5" t="s">
        <v>60</v>
      </c>
      <c r="B22" t="s">
        <v>61</v>
      </c>
      <c r="E22" s="9" t="s">
        <v>36</v>
      </c>
      <c r="F22" s="15"/>
      <c r="G22" s="15">
        <v>1</v>
      </c>
      <c r="H22" s="15">
        <v>1</v>
      </c>
      <c r="K22" s="5" t="s">
        <v>60</v>
      </c>
      <c r="L22" t="s">
        <v>62</v>
      </c>
    </row>
    <row r="23" spans="1:13" x14ac:dyDescent="0.35">
      <c r="A23" s="6" t="s">
        <v>12</v>
      </c>
      <c r="B23" s="15">
        <v>2</v>
      </c>
      <c r="E23" s="9" t="s">
        <v>44</v>
      </c>
      <c r="F23" s="15">
        <v>1</v>
      </c>
      <c r="G23" s="15"/>
      <c r="H23" s="15">
        <v>1</v>
      </c>
      <c r="K23" s="6" t="s">
        <v>25</v>
      </c>
      <c r="L23" s="15">
        <v>2</v>
      </c>
    </row>
    <row r="24" spans="1:13" x14ac:dyDescent="0.35">
      <c r="A24" s="6" t="s">
        <v>18</v>
      </c>
      <c r="B24" s="15">
        <v>2</v>
      </c>
      <c r="E24" s="6" t="s">
        <v>14</v>
      </c>
      <c r="F24" s="15">
        <v>4</v>
      </c>
      <c r="G24" s="15"/>
      <c r="H24" s="15">
        <v>4</v>
      </c>
      <c r="K24" s="6" t="s">
        <v>21</v>
      </c>
      <c r="L24" s="15">
        <v>5</v>
      </c>
    </row>
    <row r="25" spans="1:13" x14ac:dyDescent="0.35">
      <c r="A25" s="6" t="s">
        <v>23</v>
      </c>
      <c r="B25" s="15">
        <v>3</v>
      </c>
      <c r="E25" s="9" t="s">
        <v>30</v>
      </c>
      <c r="F25" s="15">
        <v>1</v>
      </c>
      <c r="G25" s="15"/>
      <c r="H25" s="15">
        <v>1</v>
      </c>
      <c r="K25" s="6" t="s">
        <v>30</v>
      </c>
      <c r="L25" s="15">
        <v>4</v>
      </c>
    </row>
    <row r="26" spans="1:13" x14ac:dyDescent="0.35">
      <c r="A26" s="6" t="s">
        <v>28</v>
      </c>
      <c r="B26" s="15">
        <v>1</v>
      </c>
      <c r="E26" s="9" t="s">
        <v>50</v>
      </c>
      <c r="F26" s="15">
        <v>1</v>
      </c>
      <c r="G26" s="15"/>
      <c r="H26" s="15">
        <v>1</v>
      </c>
      <c r="K26" s="6" t="s">
        <v>47</v>
      </c>
      <c r="L26" s="15">
        <v>5</v>
      </c>
    </row>
    <row r="27" spans="1:13" x14ac:dyDescent="0.35">
      <c r="A27" s="6" t="s">
        <v>34</v>
      </c>
      <c r="B27" s="15">
        <v>1</v>
      </c>
      <c r="E27" s="9" t="s">
        <v>41</v>
      </c>
      <c r="F27" s="15">
        <v>1</v>
      </c>
      <c r="G27" s="15"/>
      <c r="H27" s="15">
        <v>1</v>
      </c>
      <c r="K27" s="6" t="s">
        <v>36</v>
      </c>
      <c r="L27" s="15">
        <v>6</v>
      </c>
    </row>
    <row r="28" spans="1:13" x14ac:dyDescent="0.35">
      <c r="A28" s="6" t="s">
        <v>38</v>
      </c>
      <c r="B28" s="15">
        <v>1</v>
      </c>
      <c r="E28" s="9" t="s">
        <v>15</v>
      </c>
      <c r="F28" s="15">
        <v>1</v>
      </c>
      <c r="G28" s="15"/>
      <c r="H28" s="15">
        <v>1</v>
      </c>
      <c r="K28" s="6" t="s">
        <v>32</v>
      </c>
      <c r="L28" s="15">
        <v>2</v>
      </c>
    </row>
    <row r="29" spans="1:13" x14ac:dyDescent="0.35">
      <c r="A29" s="6" t="s">
        <v>43</v>
      </c>
      <c r="B29" s="15">
        <v>1</v>
      </c>
      <c r="E29" s="6" t="s">
        <v>59</v>
      </c>
      <c r="F29" s="15">
        <v>8</v>
      </c>
      <c r="G29" s="15">
        <v>5</v>
      </c>
      <c r="H29" s="15">
        <v>13</v>
      </c>
      <c r="K29" s="6" t="s">
        <v>44</v>
      </c>
      <c r="L29" s="15">
        <v>7</v>
      </c>
    </row>
    <row r="30" spans="1:13" x14ac:dyDescent="0.35">
      <c r="A30" s="6" t="s">
        <v>46</v>
      </c>
      <c r="B30" s="15">
        <v>1</v>
      </c>
      <c r="K30" s="6" t="s">
        <v>39</v>
      </c>
      <c r="L30" s="15">
        <v>3</v>
      </c>
    </row>
    <row r="31" spans="1:13" x14ac:dyDescent="0.35">
      <c r="A31" s="6" t="s">
        <v>49</v>
      </c>
      <c r="B31" s="15">
        <v>1</v>
      </c>
      <c r="K31" s="6" t="s">
        <v>50</v>
      </c>
      <c r="L31" s="15">
        <v>3</v>
      </c>
    </row>
    <row r="32" spans="1:13" x14ac:dyDescent="0.35">
      <c r="A32" s="6" t="s">
        <v>59</v>
      </c>
      <c r="B32" s="15">
        <v>13</v>
      </c>
      <c r="K32" s="6" t="s">
        <v>41</v>
      </c>
      <c r="L32" s="15">
        <v>2</v>
      </c>
    </row>
    <row r="33" spans="11:12" x14ac:dyDescent="0.35">
      <c r="K33" s="6" t="s">
        <v>15</v>
      </c>
      <c r="L33" s="15">
        <v>2</v>
      </c>
    </row>
    <row r="34" spans="11:12" x14ac:dyDescent="0.35">
      <c r="K34" s="6" t="s">
        <v>59</v>
      </c>
      <c r="L34" s="1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</vt:lpstr>
      <vt:lpstr>Sheet2</vt:lpstr>
      <vt:lpstr>Mobile Store Data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janhvi sharma</dc:creator>
  <cp:lastModifiedBy>janhvi sharma</cp:lastModifiedBy>
  <dcterms:created xsi:type="dcterms:W3CDTF">2026-05-23T10:45:08Z</dcterms:created>
  <dcterms:modified xsi:type="dcterms:W3CDTF">2026-05-24T08:11:29Z</dcterms:modified>
</cp:coreProperties>
</file>